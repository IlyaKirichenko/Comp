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t322-01\Documents\ПР-22 КириченкоИлья\Компьютерные сети\"/>
    </mc:Choice>
  </mc:AlternateContent>
  <bookViews>
    <workbookView xWindow="0" yWindow="0" windowWidth="28800" windowHeight="11670"/>
  </bookViews>
  <sheets>
    <sheet name="Лист1" sheetId="1" r:id="rId1"/>
  </sheets>
  <definedNames>
    <definedName name="_Toc518981409" localSheetId="0">Лист1!$B$77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3" i="1" l="1"/>
  <c r="E74" i="1"/>
  <c r="C70" i="1"/>
  <c r="C67" i="1"/>
  <c r="C65" i="1"/>
  <c r="F58" i="1"/>
  <c r="C53" i="1"/>
  <c r="H43" i="1"/>
  <c r="G46" i="1"/>
  <c r="C46" i="1"/>
  <c r="C37" i="1"/>
  <c r="C41" i="1"/>
  <c r="F41" i="1"/>
  <c r="F40" i="1"/>
  <c r="F37" i="1"/>
  <c r="F39" i="1"/>
  <c r="F36" i="1"/>
  <c r="J17" i="1"/>
  <c r="C31" i="1"/>
  <c r="C24" i="1"/>
  <c r="G19" i="1" l="1"/>
  <c r="I17" i="1"/>
  <c r="I19" i="1"/>
  <c r="J19" i="1"/>
  <c r="H19" i="1"/>
  <c r="H17" i="1"/>
  <c r="G17" i="1" l="1"/>
</calcChain>
</file>

<file path=xl/sharedStrings.xml><?xml version="1.0" encoding="utf-8"?>
<sst xmlns="http://schemas.openxmlformats.org/spreadsheetml/2006/main" count="48" uniqueCount="46">
  <si>
    <t>Общие значения</t>
  </si>
  <si>
    <t>2a, мкм</t>
  </si>
  <si>
    <t>k</t>
  </si>
  <si>
    <t>B.Мбит/с</t>
  </si>
  <si>
    <t>вариант 10</t>
  </si>
  <si>
    <t>λ, нм</t>
  </si>
  <si>
    <t>Δ λ, нм</t>
  </si>
  <si>
    <r>
      <t>P</t>
    </r>
    <r>
      <rPr>
        <vertAlign val="subscript"/>
        <sz val="12"/>
        <color theme="1"/>
        <rFont val="Times New Roman"/>
        <family val="1"/>
        <charset val="204"/>
      </rPr>
      <t>пер</t>
    </r>
    <r>
      <rPr>
        <sz val="12"/>
        <color theme="1"/>
        <rFont val="Times New Roman"/>
        <family val="1"/>
        <charset val="204"/>
      </rPr>
      <t>, мВт</t>
    </r>
  </si>
  <si>
    <r>
      <t>α</t>
    </r>
    <r>
      <rPr>
        <vertAlign val="subscript"/>
        <sz val="12"/>
        <color theme="1"/>
        <rFont val="Times New Roman"/>
        <family val="1"/>
        <charset val="204"/>
      </rPr>
      <t>вх, дБ</t>
    </r>
  </si>
  <si>
    <r>
      <t>α</t>
    </r>
    <r>
      <rPr>
        <vertAlign val="subscript"/>
        <sz val="12"/>
        <color theme="1"/>
        <rFont val="Times New Roman"/>
        <family val="1"/>
        <charset val="204"/>
      </rPr>
      <t>вых, дБ</t>
    </r>
  </si>
  <si>
    <r>
      <t>α</t>
    </r>
    <r>
      <rPr>
        <vertAlign val="subscript"/>
        <sz val="12"/>
        <color theme="1"/>
        <rFont val="Times New Roman"/>
        <family val="1"/>
        <charset val="204"/>
      </rPr>
      <t>нс, дБ</t>
    </r>
  </si>
  <si>
    <r>
      <t>α</t>
    </r>
    <r>
      <rPr>
        <vertAlign val="subscript"/>
        <sz val="12"/>
        <color theme="1"/>
        <rFont val="Times New Roman"/>
        <family val="1"/>
        <charset val="204"/>
      </rPr>
      <t>рс, дБ</t>
    </r>
  </si>
  <si>
    <t>Способ код-ия</t>
  </si>
  <si>
    <t xml:space="preserve">NRZ </t>
  </si>
  <si>
    <t xml:space="preserve"> 1. Расчет показателя преломления компонентов волоконного световода</t>
  </si>
  <si>
    <t>Компоненты световода</t>
  </si>
  <si>
    <t>Состав стекла</t>
  </si>
  <si>
    <t>Тип коэффицента</t>
  </si>
  <si>
    <t xml:space="preserve">Значение коэффициента при i, равном </t>
  </si>
  <si>
    <t>n2 (λ=*,**мкм)</t>
  </si>
  <si>
    <t>SiO2</t>
  </si>
  <si>
    <t>3,1% G2O2
96,9% SiO2</t>
  </si>
  <si>
    <t>Ai</t>
  </si>
  <si>
    <t>Ii</t>
  </si>
  <si>
    <r>
      <t>b</t>
    </r>
    <r>
      <rPr>
        <b/>
        <vertAlign val="subscript"/>
        <sz val="11"/>
        <color theme="1"/>
        <rFont val="Times New Roman"/>
        <family val="1"/>
        <charset val="204"/>
      </rPr>
      <t xml:space="preserve">3, </t>
    </r>
    <r>
      <rPr>
        <b/>
        <sz val="11"/>
        <color theme="1"/>
        <rFont val="Times New Roman"/>
        <family val="1"/>
        <charset val="204"/>
      </rPr>
      <t>мкм</t>
    </r>
  </si>
  <si>
    <r>
      <t>d</t>
    </r>
    <r>
      <rPr>
        <b/>
        <vertAlign val="subscript"/>
        <sz val="11"/>
        <color theme="1"/>
        <rFont val="Times New Roman"/>
        <family val="1"/>
        <charset val="204"/>
      </rPr>
      <t>2</t>
    </r>
    <r>
      <rPr>
        <b/>
        <sz val="11"/>
        <color theme="1"/>
        <rFont val="Times New Roman"/>
        <family val="1"/>
        <charset val="204"/>
      </rPr>
      <t>, мкм</t>
    </r>
  </si>
  <si>
    <r>
      <t>S</t>
    </r>
    <r>
      <rPr>
        <b/>
        <vertAlign val="subscript"/>
        <sz val="11"/>
        <color theme="1"/>
        <rFont val="Times New Roman"/>
        <family val="1"/>
        <charset val="204"/>
      </rPr>
      <t>2</t>
    </r>
    <r>
      <rPr>
        <b/>
        <sz val="11"/>
        <color theme="1"/>
        <rFont val="Times New Roman"/>
        <family val="1"/>
        <charset val="204"/>
      </rPr>
      <t>, мкм</t>
    </r>
  </si>
  <si>
    <r>
      <t>1</t>
    </r>
    <r>
      <rPr>
        <b/>
        <vertAlign val="subscript"/>
        <sz val="11"/>
        <color theme="1"/>
        <rFont val="Times New Roman"/>
        <family val="1"/>
        <charset val="204"/>
      </rPr>
      <t>ед изм</t>
    </r>
  </si>
  <si>
    <r>
      <t>P</t>
    </r>
    <r>
      <rPr>
        <b/>
        <vertAlign val="subscript"/>
        <sz val="11"/>
        <color theme="1"/>
        <rFont val="Times New Roman"/>
        <family val="1"/>
        <charset val="204"/>
      </rPr>
      <t>ош</t>
    </r>
  </si>
  <si>
    <r>
      <t>10</t>
    </r>
    <r>
      <rPr>
        <vertAlign val="superscript"/>
        <sz val="11"/>
        <color theme="1"/>
        <rFont val="Times New Roman"/>
        <family val="1"/>
        <charset val="204"/>
      </rPr>
      <t>'-9'</t>
    </r>
  </si>
  <si>
    <t>Значение нормированной (характеристической) частоты</t>
  </si>
  <si>
    <t>λ, мкм</t>
  </si>
  <si>
    <t xml:space="preserve">Светоотра-жающая оболочка (n2) </t>
  </si>
  <si>
    <t>2. Расчет числовой апературы световода</t>
  </si>
  <si>
    <t>3. Расчет затухания световодов</t>
  </si>
  <si>
    <t>tg δ</t>
  </si>
  <si>
    <t>K</t>
  </si>
  <si>
    <t>T</t>
  </si>
  <si>
    <t>x</t>
  </si>
  <si>
    <t>Δ</t>
  </si>
  <si>
    <t>a</t>
  </si>
  <si>
    <t>Сердечник (n1)</t>
  </si>
  <si>
    <t>4.Расчет дисперсии оптического волокна</t>
  </si>
  <si>
    <t>5.1 Определение длины регенерационного участка по затуханию оптического кабеля</t>
  </si>
  <si>
    <t>П</t>
  </si>
  <si>
    <t>5. Определение длины регенерационного участка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</si>
</sst>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vertAlign val="subscript"/>
      <sz val="11"/>
      <color theme="1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18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/>
    </xf>
    <xf numFmtId="0" fontId="5" fillId="0" borderId="0" xfId="0" applyFont="1"/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" fontId="5" fillId="0" borderId="3" xfId="0" quotePrefix="1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5" fillId="0" borderId="21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0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0" fillId="2" borderId="23" xfId="0" applyFont="1" applyFill="1" applyBorder="1" applyAlignment="1">
      <alignment horizontal="center" vertical="center"/>
    </xf>
    <xf numFmtId="0" fontId="10" fillId="2" borderId="24" xfId="0" applyFont="1" applyFill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7" xfId="0" applyFont="1" applyFill="1" applyBorder="1" applyAlignment="1">
      <alignment horizontal="center" vertical="center" wrapText="1"/>
    </xf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5" fillId="0" borderId="28" xfId="0" applyFont="1" applyBorder="1"/>
    <xf numFmtId="0" fontId="11" fillId="2" borderId="28" xfId="0" applyFont="1" applyFill="1" applyBorder="1"/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 wrapText="1"/>
    </xf>
    <xf numFmtId="0" fontId="11" fillId="2" borderId="27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56030</xdr:colOff>
      <xdr:row>13</xdr:row>
      <xdr:rowOff>0</xdr:rowOff>
    </xdr:from>
    <xdr:to>
      <xdr:col>10</xdr:col>
      <xdr:colOff>564216</xdr:colOff>
      <xdr:row>15</xdr:row>
      <xdr:rowOff>184897</xdr:rowOff>
    </xdr:to>
    <xdr:pic>
      <xdr:nvPicPr>
        <xdr:cNvPr id="2" name="Рисунок 1" descr="Image79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01" y="6219265"/>
          <a:ext cx="2323539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183931</xdr:colOff>
      <xdr:row>23</xdr:row>
      <xdr:rowOff>0</xdr:rowOff>
    </xdr:from>
    <xdr:to>
      <xdr:col>1</xdr:col>
      <xdr:colOff>860206</xdr:colOff>
      <xdr:row>26</xdr:row>
      <xdr:rowOff>0</xdr:rowOff>
    </xdr:to>
    <xdr:pic>
      <xdr:nvPicPr>
        <xdr:cNvPr id="3" name="Рисунок 2" descr="Image9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3931" y="9130862"/>
          <a:ext cx="1727309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30</xdr:row>
      <xdr:rowOff>133350</xdr:rowOff>
    </xdr:from>
    <xdr:to>
      <xdr:col>1</xdr:col>
      <xdr:colOff>1266825</xdr:colOff>
      <xdr:row>31</xdr:row>
      <xdr:rowOff>142875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98FA4A36-BAE1-4D39-A479-8B3426513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7025"/>
          <a:ext cx="2314575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36</xdr:row>
      <xdr:rowOff>0</xdr:rowOff>
    </xdr:from>
    <xdr:to>
      <xdr:col>1</xdr:col>
      <xdr:colOff>952500</xdr:colOff>
      <xdr:row>37</xdr:row>
      <xdr:rowOff>247650</xdr:rowOff>
    </xdr:to>
    <xdr:pic>
      <xdr:nvPicPr>
        <xdr:cNvPr id="5" name="Рисунок 4" descr="Image110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00250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1</xdr:col>
      <xdr:colOff>1309937</xdr:colOff>
      <xdr:row>41</xdr:row>
      <xdr:rowOff>95250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115AEECB-E9DD-C894-C78B-C39B56783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7825"/>
          <a:ext cx="2357687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43</xdr:row>
      <xdr:rowOff>19050</xdr:rowOff>
    </xdr:from>
    <xdr:to>
      <xdr:col>1</xdr:col>
      <xdr:colOff>1257300</xdr:colOff>
      <xdr:row>48</xdr:row>
      <xdr:rowOff>142875</xdr:rowOff>
    </xdr:to>
    <xdr:pic>
      <xdr:nvPicPr>
        <xdr:cNvPr id="7" name="Рисунок 6" descr="Image117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048875"/>
          <a:ext cx="2266950" cy="1076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51</xdr:row>
      <xdr:rowOff>0</xdr:rowOff>
    </xdr:from>
    <xdr:to>
      <xdr:col>1</xdr:col>
      <xdr:colOff>1257300</xdr:colOff>
      <xdr:row>54</xdr:row>
      <xdr:rowOff>76200</xdr:rowOff>
    </xdr:to>
    <xdr:pic>
      <xdr:nvPicPr>
        <xdr:cNvPr id="8" name="Рисунок 7" descr="Image120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53825"/>
          <a:ext cx="230505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19050</xdr:colOff>
      <xdr:row>41</xdr:row>
      <xdr:rowOff>161925</xdr:rowOff>
    </xdr:from>
    <xdr:to>
      <xdr:col>6</xdr:col>
      <xdr:colOff>592455</xdr:colOff>
      <xdr:row>43</xdr:row>
      <xdr:rowOff>2276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5C78FEB8-DA55-41F9-E49D-0007DCD98A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10075" y="9810750"/>
          <a:ext cx="2392680" cy="2213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0</xdr:colOff>
      <xdr:row>44</xdr:row>
      <xdr:rowOff>0</xdr:rowOff>
    </xdr:from>
    <xdr:to>
      <xdr:col>5</xdr:col>
      <xdr:colOff>598842</xdr:colOff>
      <xdr:row>47</xdr:row>
      <xdr:rowOff>13111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DDA821D-73E0-EECA-C15C-AAF978403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91025" y="10220325"/>
          <a:ext cx="1465617" cy="58461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161925</xdr:colOff>
      <xdr:row>57</xdr:row>
      <xdr:rowOff>19050</xdr:rowOff>
    </xdr:from>
    <xdr:to>
      <xdr:col>4</xdr:col>
      <xdr:colOff>539115</xdr:colOff>
      <xdr:row>58</xdr:row>
      <xdr:rowOff>98424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EEF99842-ED35-0FAB-2EB3-332709C8B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33650" y="12792075"/>
          <a:ext cx="2396490" cy="5079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828675</xdr:colOff>
      <xdr:row>63</xdr:row>
      <xdr:rowOff>95250</xdr:rowOff>
    </xdr:from>
    <xdr:to>
      <xdr:col>1</xdr:col>
      <xdr:colOff>1314450</xdr:colOff>
      <xdr:row>65</xdr:row>
      <xdr:rowOff>0</xdr:rowOff>
    </xdr:to>
    <xdr:pic>
      <xdr:nvPicPr>
        <xdr:cNvPr id="12" name="Рисунок 11" descr="Image126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" y="14268450"/>
          <a:ext cx="15335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914400</xdr:colOff>
      <xdr:row>66</xdr:row>
      <xdr:rowOff>28575</xdr:rowOff>
    </xdr:from>
    <xdr:to>
      <xdr:col>1</xdr:col>
      <xdr:colOff>1285875</xdr:colOff>
      <xdr:row>67</xdr:row>
      <xdr:rowOff>123825</xdr:rowOff>
    </xdr:to>
    <xdr:pic>
      <xdr:nvPicPr>
        <xdr:cNvPr id="13" name="Рисунок 12" descr="Image127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" y="14773275"/>
          <a:ext cx="14192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133350</xdr:colOff>
      <xdr:row>62</xdr:row>
      <xdr:rowOff>171450</xdr:rowOff>
    </xdr:from>
    <xdr:to>
      <xdr:col>4</xdr:col>
      <xdr:colOff>752475</xdr:colOff>
      <xdr:row>64</xdr:row>
      <xdr:rowOff>57150</xdr:rowOff>
    </xdr:to>
    <xdr:pic>
      <xdr:nvPicPr>
        <xdr:cNvPr id="14" name="Рисунок 13" descr="Image128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24375" y="14154150"/>
          <a:ext cx="6191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180975</xdr:colOff>
      <xdr:row>64</xdr:row>
      <xdr:rowOff>161925</xdr:rowOff>
    </xdr:from>
    <xdr:to>
      <xdr:col>4</xdr:col>
      <xdr:colOff>723900</xdr:colOff>
      <xdr:row>66</xdr:row>
      <xdr:rowOff>47625</xdr:rowOff>
    </xdr:to>
    <xdr:pic>
      <xdr:nvPicPr>
        <xdr:cNvPr id="15" name="Рисунок 14" descr="Image129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0" y="14535150"/>
          <a:ext cx="5429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123825</xdr:colOff>
      <xdr:row>68</xdr:row>
      <xdr:rowOff>114300</xdr:rowOff>
    </xdr:from>
    <xdr:to>
      <xdr:col>1</xdr:col>
      <xdr:colOff>1256963</xdr:colOff>
      <xdr:row>70</xdr:row>
      <xdr:rowOff>126404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A838D0C4-2775-453B-8E47-53CE1A819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" y="15240000"/>
          <a:ext cx="1133138" cy="3931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419100</xdr:colOff>
      <xdr:row>72</xdr:row>
      <xdr:rowOff>0</xdr:rowOff>
    </xdr:from>
    <xdr:to>
      <xdr:col>3</xdr:col>
      <xdr:colOff>942975</xdr:colOff>
      <xdr:row>75</xdr:row>
      <xdr:rowOff>0</xdr:rowOff>
    </xdr:to>
    <xdr:pic>
      <xdr:nvPicPr>
        <xdr:cNvPr id="17" name="Рисунок 16" descr="Image139"/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0825" y="15887700"/>
          <a:ext cx="1495425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1085850</xdr:colOff>
      <xdr:row>80</xdr:row>
      <xdr:rowOff>142875</xdr:rowOff>
    </xdr:from>
    <xdr:to>
      <xdr:col>3</xdr:col>
      <xdr:colOff>1028700</xdr:colOff>
      <xdr:row>84</xdr:row>
      <xdr:rowOff>38100</xdr:rowOff>
    </xdr:to>
    <xdr:pic>
      <xdr:nvPicPr>
        <xdr:cNvPr id="18" name="Рисунок 17" descr="Image167"/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0" y="17735550"/>
          <a:ext cx="22383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3"/>
  <sheetViews>
    <sheetView tabSelected="1" topLeftCell="A66" zoomScaleNormal="100" workbookViewId="0">
      <selection activeCell="D89" sqref="D89"/>
    </sheetView>
  </sheetViews>
  <sheetFormatPr defaultRowHeight="15" x14ac:dyDescent="0.25"/>
  <cols>
    <col min="1" max="1" width="14.7109375" style="11" customWidth="1"/>
    <col min="2" max="2" width="19.85546875" style="11" customWidth="1"/>
    <col min="3" max="3" width="14.5703125" style="11" customWidth="1"/>
    <col min="4" max="4" width="15.7109375" style="11" customWidth="1"/>
    <col min="5" max="5" width="25" style="11" customWidth="1"/>
    <col min="6" max="6" width="20.140625" style="11" customWidth="1"/>
    <col min="7" max="7" width="13.28515625" style="11" customWidth="1"/>
    <col min="8" max="8" width="11.28515625" style="11" customWidth="1"/>
    <col min="9" max="16384" width="9.140625" style="11"/>
  </cols>
  <sheetData>
    <row r="1" spans="1:7" x14ac:dyDescent="0.25">
      <c r="A1" s="34" t="s">
        <v>0</v>
      </c>
      <c r="B1" s="35"/>
      <c r="D1" s="36" t="s">
        <v>4</v>
      </c>
      <c r="E1" s="35"/>
    </row>
    <row r="2" spans="1:7" ht="15.75" x14ac:dyDescent="0.25">
      <c r="A2" s="12" t="s">
        <v>1</v>
      </c>
      <c r="B2" s="13">
        <v>8.3000000000000007</v>
      </c>
      <c r="D2" s="6" t="s">
        <v>5</v>
      </c>
      <c r="E2" s="7">
        <v>1520</v>
      </c>
      <c r="F2" s="5" t="s">
        <v>31</v>
      </c>
      <c r="G2" s="25">
        <v>1.52</v>
      </c>
    </row>
    <row r="3" spans="1:7" ht="17.25" x14ac:dyDescent="0.3">
      <c r="A3" s="14" t="s">
        <v>24</v>
      </c>
      <c r="B3" s="15">
        <v>125</v>
      </c>
      <c r="D3" s="8" t="s">
        <v>6</v>
      </c>
      <c r="E3" s="3">
        <v>0.13</v>
      </c>
    </row>
    <row r="4" spans="1:7" ht="18.75" x14ac:dyDescent="0.35">
      <c r="A4" s="14" t="s">
        <v>25</v>
      </c>
      <c r="B4" s="15">
        <v>160</v>
      </c>
      <c r="D4" s="8" t="s">
        <v>7</v>
      </c>
      <c r="E4" s="7">
        <v>15</v>
      </c>
    </row>
    <row r="5" spans="1:7" ht="18.75" x14ac:dyDescent="0.3">
      <c r="A5" s="14" t="s">
        <v>26</v>
      </c>
      <c r="B5" s="15">
        <v>80</v>
      </c>
      <c r="D5" s="9" t="s">
        <v>8</v>
      </c>
      <c r="E5" s="7">
        <v>2</v>
      </c>
    </row>
    <row r="6" spans="1:7" ht="18.75" x14ac:dyDescent="0.25">
      <c r="A6" s="14" t="s">
        <v>2</v>
      </c>
      <c r="B6" s="15">
        <v>15</v>
      </c>
      <c r="D6" s="9" t="s">
        <v>9</v>
      </c>
      <c r="E6" s="7">
        <v>5</v>
      </c>
    </row>
    <row r="7" spans="1:7" ht="18.75" x14ac:dyDescent="0.3">
      <c r="A7" s="14" t="s">
        <v>27</v>
      </c>
      <c r="B7" s="15">
        <v>2</v>
      </c>
      <c r="D7" s="9" t="s">
        <v>10</v>
      </c>
      <c r="E7" s="16">
        <v>0.01</v>
      </c>
    </row>
    <row r="8" spans="1:7" ht="18.75" x14ac:dyDescent="0.3">
      <c r="A8" s="14" t="s">
        <v>28</v>
      </c>
      <c r="B8" s="17" t="s">
        <v>29</v>
      </c>
      <c r="D8" s="9" t="s">
        <v>11</v>
      </c>
      <c r="E8" s="7">
        <v>0.35</v>
      </c>
    </row>
    <row r="9" spans="1:7" ht="15.75" x14ac:dyDescent="0.25">
      <c r="A9" s="18" t="s">
        <v>3</v>
      </c>
      <c r="B9" s="19">
        <v>622</v>
      </c>
      <c r="D9" s="2" t="s">
        <v>12</v>
      </c>
      <c r="E9" s="10" t="s">
        <v>13</v>
      </c>
    </row>
    <row r="10" spans="1:7" ht="15.75" x14ac:dyDescent="0.25">
      <c r="D10" s="1"/>
    </row>
    <row r="13" spans="1:7" ht="16.5" thickBot="1" x14ac:dyDescent="0.3">
      <c r="A13" s="22" t="s">
        <v>14</v>
      </c>
      <c r="B13" s="22"/>
      <c r="C13" s="22"/>
      <c r="D13" s="22"/>
      <c r="E13" s="22"/>
      <c r="F13" s="22"/>
      <c r="G13" s="22"/>
    </row>
    <row r="14" spans="1:7" x14ac:dyDescent="0.25">
      <c r="A14" s="37" t="s">
        <v>15</v>
      </c>
      <c r="B14" s="39" t="s">
        <v>16</v>
      </c>
      <c r="C14" s="39" t="s">
        <v>17</v>
      </c>
      <c r="D14" s="39" t="s">
        <v>18</v>
      </c>
      <c r="E14" s="39"/>
      <c r="F14" s="39"/>
      <c r="G14" s="41" t="s">
        <v>19</v>
      </c>
    </row>
    <row r="15" spans="1:7" x14ac:dyDescent="0.25">
      <c r="A15" s="38"/>
      <c r="B15" s="40"/>
      <c r="C15" s="40"/>
      <c r="D15" s="40"/>
      <c r="E15" s="40"/>
      <c r="F15" s="40"/>
      <c r="G15" s="42"/>
    </row>
    <row r="16" spans="1:7" x14ac:dyDescent="0.25">
      <c r="A16" s="38"/>
      <c r="B16" s="40"/>
      <c r="C16" s="40"/>
      <c r="D16" s="20">
        <v>1</v>
      </c>
      <c r="E16" s="20">
        <v>2</v>
      </c>
      <c r="F16" s="20">
        <v>3</v>
      </c>
      <c r="G16" s="42"/>
    </row>
    <row r="17" spans="1:10" ht="26.25" customHeight="1" x14ac:dyDescent="0.25">
      <c r="A17" s="26" t="s">
        <v>32</v>
      </c>
      <c r="B17" s="31" t="s">
        <v>20</v>
      </c>
      <c r="C17" s="20" t="s">
        <v>22</v>
      </c>
      <c r="D17" s="4">
        <v>0.69616630000000002</v>
      </c>
      <c r="E17" s="4">
        <v>0.40794259999999999</v>
      </c>
      <c r="F17" s="4">
        <v>0.89747940000000004</v>
      </c>
      <c r="G17" s="28">
        <f>1+SUM(H17+I17+J17)</f>
        <v>2.0862371499233179</v>
      </c>
      <c r="H17" s="43">
        <f>D17*($G$2^2/($G$2^2-D18^2))</f>
        <v>0.6975790752402482</v>
      </c>
      <c r="I17" s="43">
        <f t="shared" ref="I17:J17" si="0">E17*($G$2^2/($G$2^2-E18^2))</f>
        <v>0.41034243242244378</v>
      </c>
      <c r="J17" s="43">
        <f>F17*($G$2^2/($G$2^2-F18^2))</f>
        <v>-2.1684357739374101E-2</v>
      </c>
    </row>
    <row r="18" spans="1:10" ht="23.25" customHeight="1" x14ac:dyDescent="0.25">
      <c r="A18" s="27"/>
      <c r="B18" s="32"/>
      <c r="C18" s="20" t="s">
        <v>23</v>
      </c>
      <c r="D18" s="4">
        <v>6.8404300000000001E-2</v>
      </c>
      <c r="E18" s="4">
        <v>0.11624139999999999</v>
      </c>
      <c r="F18" s="4">
        <v>9.8961609999999993</v>
      </c>
      <c r="G18" s="29"/>
      <c r="H18" s="43"/>
      <c r="I18" s="43"/>
      <c r="J18" s="43"/>
    </row>
    <row r="19" spans="1:10" ht="21" customHeight="1" x14ac:dyDescent="0.25">
      <c r="A19" s="26" t="s">
        <v>41</v>
      </c>
      <c r="B19" s="31" t="s">
        <v>21</v>
      </c>
      <c r="C19" s="20" t="s">
        <v>22</v>
      </c>
      <c r="D19" s="21">
        <v>0.70285540000000002</v>
      </c>
      <c r="E19" s="21">
        <v>0.41463070000000002</v>
      </c>
      <c r="F19" s="21">
        <v>0.89745399999999997</v>
      </c>
      <c r="G19" s="28">
        <f>1+SUM(H19+I19+J19)</f>
        <v>2.0997753896465805</v>
      </c>
      <c r="H19" s="43">
        <f>D19*($G$2^2/($G$2^2-D20^2))</f>
        <v>0.70447015867971952</v>
      </c>
      <c r="I19" s="43">
        <f t="shared" ref="I19:J19" si="1">E19*($G$2^2/($G$2^2-E20^2))</f>
        <v>0.41698897500670445</v>
      </c>
      <c r="J19" s="43">
        <f t="shared" si="1"/>
        <v>-2.1683744039843415E-2</v>
      </c>
    </row>
    <row r="20" spans="1:10" ht="29.25" customHeight="1" thickBot="1" x14ac:dyDescent="0.3">
      <c r="A20" s="30"/>
      <c r="B20" s="33"/>
      <c r="C20" s="23" t="s">
        <v>23</v>
      </c>
      <c r="D20" s="24">
        <v>7.2772299999999998E-2</v>
      </c>
      <c r="E20" s="24">
        <v>0.11430849999999999</v>
      </c>
      <c r="F20" s="24">
        <v>9.8961609999999993</v>
      </c>
      <c r="G20" s="29"/>
      <c r="H20" s="43"/>
      <c r="I20" s="43"/>
      <c r="J20" s="43"/>
    </row>
    <row r="22" spans="1:10" ht="15.75" x14ac:dyDescent="0.25">
      <c r="A22" s="1" t="s">
        <v>30</v>
      </c>
    </row>
    <row r="23" spans="1:10" ht="15.75" thickBot="1" x14ac:dyDescent="0.3"/>
    <row r="24" spans="1:10" x14ac:dyDescent="0.25">
      <c r="C24" s="44">
        <f>(PI()*B2/G2)*SQRT(G19-G17)</f>
        <v>1.9960227048208057</v>
      </c>
      <c r="D24" s="45"/>
    </row>
    <row r="25" spans="1:10" x14ac:dyDescent="0.25">
      <c r="C25" s="46"/>
      <c r="D25" s="47"/>
    </row>
    <row r="26" spans="1:10" ht="15.75" thickBot="1" x14ac:dyDescent="0.3">
      <c r="C26" s="48"/>
      <c r="D26" s="49"/>
    </row>
    <row r="29" spans="1:10" x14ac:dyDescent="0.25">
      <c r="A29" s="54" t="s">
        <v>33</v>
      </c>
    </row>
    <row r="30" spans="1:10" ht="13.5" customHeight="1" thickBot="1" x14ac:dyDescent="0.3"/>
    <row r="31" spans="1:10" ht="30.75" customHeight="1" x14ac:dyDescent="0.25">
      <c r="C31" s="50">
        <f>SQRT(G19-G17)</f>
        <v>0.11635394158885476</v>
      </c>
      <c r="D31" s="51"/>
    </row>
    <row r="32" spans="1:10" ht="22.5" customHeight="1" thickBot="1" x14ac:dyDescent="0.3">
      <c r="C32" s="52"/>
      <c r="D32" s="53"/>
    </row>
    <row r="35" spans="1:8" ht="42" customHeight="1" x14ac:dyDescent="0.25">
      <c r="A35" s="54" t="s">
        <v>34</v>
      </c>
    </row>
    <row r="36" spans="1:8" ht="24.75" customHeight="1" thickBot="1" x14ac:dyDescent="0.3">
      <c r="E36" s="56" t="s">
        <v>35</v>
      </c>
      <c r="F36" s="11">
        <f>2.4*10^-12</f>
        <v>2.3999999999999999E-12</v>
      </c>
    </row>
    <row r="37" spans="1:8" ht="24.75" customHeight="1" thickBot="1" x14ac:dyDescent="0.3">
      <c r="C37" s="57">
        <f>8.69*((PI()*G19*10^9)/G2)*F36</f>
        <v>9.0512830063969513E-2</v>
      </c>
      <c r="E37" s="56" t="s">
        <v>36</v>
      </c>
      <c r="F37" s="11">
        <f>1.38*10^-23</f>
        <v>1.3800000000000001E-23</v>
      </c>
    </row>
    <row r="38" spans="1:8" ht="24.75" customHeight="1" x14ac:dyDescent="0.25">
      <c r="E38" s="56" t="s">
        <v>37</v>
      </c>
      <c r="F38" s="11">
        <v>1500</v>
      </c>
    </row>
    <row r="39" spans="1:8" x14ac:dyDescent="0.25">
      <c r="E39" s="56" t="s">
        <v>38</v>
      </c>
      <c r="F39" s="11">
        <f>8.1*10^-23</f>
        <v>8.1000000000000001E-23</v>
      </c>
    </row>
    <row r="40" spans="1:8" ht="15.75" thickBot="1" x14ac:dyDescent="0.3">
      <c r="E40" s="56" t="s">
        <v>39</v>
      </c>
      <c r="F40" s="11">
        <f>(G19-G17)/2*G19</f>
        <v>1.4213631295021295E-2</v>
      </c>
    </row>
    <row r="41" spans="1:8" ht="15.75" thickBot="1" x14ac:dyDescent="0.3">
      <c r="C41" s="57">
        <f>4.32*((8*PI()^3)/(3*G2^4))*(G19-1)*F37*F38*F39*10^3</f>
        <v>1.2339202930818002E-37</v>
      </c>
      <c r="E41" s="56" t="s">
        <v>40</v>
      </c>
      <c r="F41" s="11">
        <f>B2/2</f>
        <v>4.1500000000000004</v>
      </c>
    </row>
    <row r="42" spans="1:8" ht="15.75" thickBot="1" x14ac:dyDescent="0.3"/>
    <row r="43" spans="1:8" ht="15.75" thickBot="1" x14ac:dyDescent="0.3">
      <c r="H43" s="57">
        <f>F41*(0.65+1.61*G46^-1.5+2.879*G46^-6)</f>
        <v>3.4698543663153725</v>
      </c>
    </row>
    <row r="45" spans="1:8" ht="15.75" thickBot="1" x14ac:dyDescent="0.3"/>
    <row r="46" spans="1:8" ht="15.75" thickBot="1" x14ac:dyDescent="0.3">
      <c r="C46" s="57">
        <f>(26*10^-3*F41)/(F40*B4*(1+(B5/(PI()*B4))^2))</f>
        <v>4.6273529517455073E-2</v>
      </c>
      <c r="G46" s="57">
        <f>12.97*F41*SQRT(F40)/G2</f>
        <v>4.2217937014313796</v>
      </c>
    </row>
    <row r="52" spans="1:7" ht="15.75" thickBot="1" x14ac:dyDescent="0.3"/>
    <row r="53" spans="1:7" ht="15.75" thickBot="1" x14ac:dyDescent="0.3">
      <c r="C53" s="57">
        <f>2*10^-4*(B6*F41^4)/(B3^6*F40^3)*(H43^6/G2^4)</f>
        <v>2.6560213344101371E-5</v>
      </c>
    </row>
    <row r="57" spans="1:7" ht="15.75" thickBot="1" x14ac:dyDescent="0.3"/>
    <row r="58" spans="1:7" ht="33.75" customHeight="1" x14ac:dyDescent="0.25">
      <c r="F58" s="59">
        <f>C37+C41+C46+C53</f>
        <v>0.1368129197947687</v>
      </c>
      <c r="G58" s="60"/>
    </row>
    <row r="59" spans="1:7" ht="15.75" thickBot="1" x14ac:dyDescent="0.3">
      <c r="F59" s="61"/>
      <c r="G59" s="62"/>
    </row>
    <row r="62" spans="1:7" x14ac:dyDescent="0.25">
      <c r="A62" s="54" t="s">
        <v>42</v>
      </c>
    </row>
    <row r="64" spans="1:7" ht="15.75" thickBot="1" x14ac:dyDescent="0.3">
      <c r="F64" s="55">
        <v>-20.95647288584</v>
      </c>
    </row>
    <row r="65" spans="1:6" ht="15.75" thickBot="1" x14ac:dyDescent="0.3">
      <c r="C65" s="57">
        <f>E3*F64</f>
        <v>-2.7243414751592003</v>
      </c>
    </row>
    <row r="66" spans="1:6" ht="15.75" thickBot="1" x14ac:dyDescent="0.3">
      <c r="F66" s="55">
        <v>29.101311315699999</v>
      </c>
    </row>
    <row r="67" spans="1:6" ht="15.75" thickBot="1" x14ac:dyDescent="0.3">
      <c r="C67" s="57">
        <f>E3*F66</f>
        <v>3.7831704710410001</v>
      </c>
    </row>
    <row r="69" spans="1:6" ht="15.75" thickBot="1" x14ac:dyDescent="0.3"/>
    <row r="70" spans="1:6" ht="15.75" thickBot="1" x14ac:dyDescent="0.3">
      <c r="C70" s="57">
        <f>-C65+C67</f>
        <v>6.5075119462002</v>
      </c>
    </row>
    <row r="73" spans="1:6" ht="15.75" thickBot="1" x14ac:dyDescent="0.3"/>
    <row r="74" spans="1:6" ht="24" thickBot="1" x14ac:dyDescent="0.4">
      <c r="E74" s="58">
        <f>(0.44/C70)*10^12</f>
        <v>67614167079.158463</v>
      </c>
    </row>
    <row r="77" spans="1:6" ht="15.75" x14ac:dyDescent="0.25">
      <c r="B77" s="63" t="s">
        <v>45</v>
      </c>
      <c r="C77" s="63"/>
    </row>
    <row r="78" spans="1:6" x14ac:dyDescent="0.25">
      <c r="A78" s="54" t="s">
        <v>43</v>
      </c>
    </row>
    <row r="80" spans="1:6" x14ac:dyDescent="0.25">
      <c r="A80" s="64" t="s">
        <v>44</v>
      </c>
      <c r="B80" s="55">
        <v>52.139433523069997</v>
      </c>
    </row>
    <row r="82" spans="5:5" ht="15.75" thickBot="1" x14ac:dyDescent="0.3"/>
    <row r="83" spans="5:5" ht="24" thickBot="1" x14ac:dyDescent="0.4">
      <c r="E83" s="58">
        <f>((B80+E7-2*E8)/(E7+F58*B7))*B7</f>
        <v>362.79792840826832</v>
      </c>
    </row>
  </sheetData>
  <mergeCells count="22">
    <mergeCell ref="C31:D32"/>
    <mergeCell ref="F58:G59"/>
    <mergeCell ref="G14:G16"/>
    <mergeCell ref="H17:H18"/>
    <mergeCell ref="I17:I18"/>
    <mergeCell ref="J17:J18"/>
    <mergeCell ref="H19:H20"/>
    <mergeCell ref="I19:I20"/>
    <mergeCell ref="J19:J20"/>
    <mergeCell ref="A1:B1"/>
    <mergeCell ref="D1:E1"/>
    <mergeCell ref="A14:A16"/>
    <mergeCell ref="B14:B16"/>
    <mergeCell ref="C14:C16"/>
    <mergeCell ref="D14:F15"/>
    <mergeCell ref="C24:D26"/>
    <mergeCell ref="A17:A18"/>
    <mergeCell ref="G17:G18"/>
    <mergeCell ref="G19:G20"/>
    <mergeCell ref="A19:A20"/>
    <mergeCell ref="B17:B18"/>
    <mergeCell ref="B19:B20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Лист1!_Toc518981409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st322-01</dc:creator>
  <cp:lastModifiedBy>st322-01</cp:lastModifiedBy>
  <dcterms:created xsi:type="dcterms:W3CDTF">2026-02-13T05:40:37Z</dcterms:created>
  <dcterms:modified xsi:type="dcterms:W3CDTF">2026-02-20T08:56:02Z</dcterms:modified>
</cp:coreProperties>
</file>